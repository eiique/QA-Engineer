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ter\Downloads\"/>
    </mc:Choice>
  </mc:AlternateContent>
  <xr:revisionPtr revIDLastSave="0" documentId="13_ncr:1_{74AC0DB9-6238-4F78-9098-2A9EAF4D2A2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Легенда" sheetId="1" r:id="rId1"/>
    <sheet name="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2" l="1"/>
  <c r="F11" i="2"/>
  <c r="F10" i="2"/>
  <c r="F9" i="2"/>
  <c r="E12" i="2"/>
  <c r="E11" i="2"/>
  <c r="E10" i="2"/>
  <c r="E9" i="2"/>
  <c r="E8" i="2"/>
  <c r="E7" i="2"/>
  <c r="F8" i="2" l="1"/>
</calcChain>
</file>

<file path=xl/sharedStrings.xml><?xml version="1.0" encoding="utf-8"?>
<sst xmlns="http://schemas.openxmlformats.org/spreadsheetml/2006/main" count="168" uniqueCount="107">
  <si>
    <t>Результат</t>
  </si>
  <si>
    <t>Описание</t>
  </si>
  <si>
    <t>OK</t>
  </si>
  <si>
    <t>Все работает правильно</t>
  </si>
  <si>
    <t>Partially tested</t>
  </si>
  <si>
    <t>Функциональность была протестирована частично</t>
  </si>
  <si>
    <t>Enhancement</t>
  </si>
  <si>
    <t>Для данной функциональности есть предложения по ее улучшению или в функциональности содержатся дефекты, необязательные для исправления</t>
  </si>
  <si>
    <t>Minor</t>
  </si>
  <si>
    <t>В функциональности есть дефекты графического интерфейса или несерьузные функциональные дефекты</t>
  </si>
  <si>
    <t>Average</t>
  </si>
  <si>
    <t>Функциональность содержит дефекты, влияющие на работу пользователя</t>
  </si>
  <si>
    <t>Major</t>
  </si>
  <si>
    <t>Функциональность содержит серьузные дефекты, значительно влияющие на работу пользователя и/или блокирующие часть функциональности</t>
  </si>
  <si>
    <t>Critical</t>
  </si>
  <si>
    <t>Функциональность содержит ошибки, не позволяющие продолжать работу с приложением</t>
  </si>
  <si>
    <t>Not available</t>
  </si>
  <si>
    <t>Функциональность недоступна для тестирования</t>
  </si>
  <si>
    <t>Not implemented</t>
  </si>
  <si>
    <t>Функциональность еще не разработана/не добавлена в сборку</t>
  </si>
  <si>
    <t>Not tested</t>
  </si>
  <si>
    <t>Функциональность еще не тестировалась</t>
  </si>
  <si>
    <t>Тип тестов</t>
  </si>
  <si>
    <t>Smoke</t>
  </si>
  <si>
    <t>Проверка основной функциональности на положительных значениях</t>
  </si>
  <si>
    <t>MAT</t>
  </si>
  <si>
    <t>Проверка всей функциональности на положительных значениях</t>
  </si>
  <si>
    <t>AT</t>
  </si>
  <si>
    <t>Проверка всей функциональности на отрицательных значениях</t>
  </si>
  <si>
    <t>DV</t>
  </si>
  <si>
    <t>Проверка всех дефектов, которым выставлена резолюция</t>
  </si>
  <si>
    <t>NFT</t>
  </si>
  <si>
    <t>Тестирование новой функциональности</t>
  </si>
  <si>
    <t>RT</t>
  </si>
  <si>
    <t>Повторное тестирование ранее проверенной функциональности</t>
  </si>
  <si>
    <t>Модуль</t>
  </si>
  <si>
    <t>Сборка</t>
  </si>
  <si>
    <t>Дата</t>
  </si>
  <si>
    <t>Тестировщик</t>
  </si>
  <si>
    <t>ОС</t>
  </si>
  <si>
    <t>Браузер</t>
  </si>
  <si>
    <t>Всего тестов</t>
  </si>
  <si>
    <t>Пройдено тестов</t>
  </si>
  <si>
    <t>Провалено тестов</t>
  </si>
  <si>
    <t>Функциональность</t>
  </si>
  <si>
    <t>Проверка</t>
  </si>
  <si>
    <t>Ожидаемый результат</t>
  </si>
  <si>
    <t>Комментарий</t>
  </si>
  <si>
    <t>Bio &amp; Press</t>
  </si>
  <si>
    <t>Connect</t>
  </si>
  <si>
    <t>Отображение страницы Bio &amp; Press</t>
  </si>
  <si>
    <t>Проверка форматирования текста</t>
  </si>
  <si>
    <t>Clients</t>
  </si>
  <si>
    <t>Отображение страницы Clients Gallery</t>
  </si>
  <si>
    <t>Отображается название "Clients Gallery", список клиентов с фото и информацией (согласно макету)</t>
  </si>
  <si>
    <t>Philanthropy</t>
  </si>
  <si>
    <t>Отображение страницы Philanthropy</t>
  </si>
  <si>
    <t>Проверка форматирования статьи</t>
  </si>
  <si>
    <t>Contact</t>
  </si>
  <si>
    <t>Отображение страницы Contact</t>
  </si>
  <si>
    <t>Успешная отправка формы с валидными данными</t>
  </si>
  <si>
    <t>Автор документации</t>
  </si>
  <si>
    <t>Останина Анастасия</t>
  </si>
  <si>
    <t>В подменю отображается информация о Греге: его история, его клиенты и так далее</t>
  </si>
  <si>
    <t>Открытие страницы Bio &amp; Press</t>
  </si>
  <si>
    <t>Открытие страницы Clients Gallery</t>
  </si>
  <si>
    <t>Открытие страницы Philanthropy</t>
  </si>
  <si>
    <t>Открытие страницы Contact</t>
  </si>
  <si>
    <t>Проверка перехода по ссылкам подменю</t>
  </si>
  <si>
    <t>При клике на каждый пункт подменю (Bio &amp; Press, Clients, Philanthropy, Contact) открывается соответствующая страница</t>
  </si>
  <si>
    <t>Текст на странице соответствует форматированию (заголовки, абзацы, выделения) по спецификации</t>
  </si>
  <si>
    <t>Текст статьи соответствует форматированию по спецификации</t>
  </si>
  <si>
    <t>Отображается фото Грега, его обращение к клиентам, форма с полями Firstname, Lastname, email, Subject, Message</t>
  </si>
  <si>
    <t>Проверка плейсхолдера Firstname</t>
  </si>
  <si>
    <t>В поле Firstname отображается "Please enter your firstname"</t>
  </si>
  <si>
    <t>Проверка плейсхолдера Lastname</t>
  </si>
  <si>
    <t>В поле Lastname отображается "Please enter your Lastname"</t>
  </si>
  <si>
    <t>Проверка плейсхолдера Email</t>
  </si>
  <si>
    <t>В поле Email отображается "Please enter your email"</t>
  </si>
  <si>
    <t>Проверка плейсхолдера Subject</t>
  </si>
  <si>
    <t>В поле Subject отображается "Please enter letter subject"</t>
  </si>
  <si>
    <t>Проверка плейсхолдера Message</t>
  </si>
  <si>
    <t>В поле Message отображается "Message for me"</t>
  </si>
  <si>
    <t>Валидация обязательного поля Lastname (пустое)</t>
  </si>
  <si>
    <t>Появляется "Lastname is required"</t>
  </si>
  <si>
    <t>Валидация обязательного поля Email (пустое)</t>
  </si>
  <si>
    <t>Появляется "Email is required"</t>
  </si>
  <si>
    <t>Валидация обязательного поля Subject (пустое)</t>
  </si>
  <si>
    <t>Появляется "Subject is required"</t>
  </si>
  <si>
    <t>Валидация обязательного поля Message (пустое)</t>
  </si>
  <si>
    <t>Появляется "Please leave me a message"</t>
  </si>
  <si>
    <t>Выбор подменю Connect</t>
  </si>
  <si>
    <t>Подменю Connect отображается</t>
  </si>
  <si>
    <t>Страница загружается</t>
  </si>
  <si>
    <t>Отображается название "Philanthropy", фото Грега, статья "How photographing changed my life" с форматированием из спецификации</t>
  </si>
  <si>
    <t>Google Chrome 150.0</t>
  </si>
  <si>
    <t>Форма отправляется без ошибок</t>
  </si>
  <si>
    <t>Отображается название "Bio &amp; Press", фото Грега, статья с нужным форматированием</t>
  </si>
  <si>
    <t>2.2</t>
  </si>
  <si>
    <t>Анастасия Останина</t>
  </si>
  <si>
    <t xml:space="preserve"> Windows 11</t>
  </si>
  <si>
    <t>Количество клиентов</t>
  </si>
  <si>
    <t>OSTANINA-60</t>
  </si>
  <si>
    <t>OSTANINA-48</t>
  </si>
  <si>
    <t>OSTANINA-41</t>
  </si>
  <si>
    <t>OSTANINA-61</t>
  </si>
  <si>
    <t>OSTANINA-54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</si>
</sst>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indexed="4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rgb="FF92D05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FFC000"/>
        <bgColor rgb="FFFFC000"/>
      </patternFill>
    </fill>
    <fill>
      <patternFill patternType="solid">
        <fgColor rgb="FFFF7979"/>
        <bgColor rgb="FFFF7979"/>
      </patternFill>
    </fill>
    <fill>
      <patternFill patternType="solid">
        <fgColor rgb="FFFF2121"/>
        <bgColor rgb="FFFF2121"/>
      </patternFill>
    </fill>
    <fill>
      <patternFill patternType="solid">
        <fgColor rgb="FFA568D2"/>
        <bgColor rgb="FFA568D2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theme="4" tint="0.3999755851924192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Protection="0">
      <alignment vertical="center"/>
    </xf>
  </cellStyleXfs>
  <cellXfs count="3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5" fillId="4" borderId="1" xfId="0" applyFont="1" applyFill="1" applyBorder="1"/>
    <xf numFmtId="0" fontId="0" fillId="0" borderId="0" xfId="0"/>
    <xf numFmtId="0" fontId="0" fillId="0" borderId="0" xfId="0" applyAlignment="1">
      <alignment horizontal="center" vertical="center"/>
    </xf>
    <xf numFmtId="0" fontId="0" fillId="12" borderId="1" xfId="0" applyFill="1" applyBorder="1"/>
    <xf numFmtId="0" fontId="5" fillId="13" borderId="1" xfId="0" applyFont="1" applyFill="1" applyBorder="1"/>
    <xf numFmtId="0" fontId="0" fillId="0" borderId="1" xfId="0" applyBorder="1" applyAlignment="1">
      <alignment wrapText="1"/>
    </xf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2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4" fillId="0" borderId="1" xfId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Гиперссылка" xfId="1" builtinId="8"/>
    <cellStyle name="Обычный" xfId="0" builtinId="0"/>
  </cellStyles>
  <dxfs count="10">
    <dxf>
      <fill>
        <patternFill patternType="solid">
          <fgColor rgb="FF92D050"/>
          <bgColor rgb="FF92D050"/>
        </patternFill>
      </fill>
    </dxf>
    <dxf>
      <fill>
        <patternFill patternType="solid">
          <fgColor theme="8" tint="0.59996337778862885"/>
          <bgColor theme="8" tint="0.59996337778862885"/>
        </patternFill>
      </fill>
    </dxf>
    <dxf>
      <fill>
        <patternFill patternType="solid">
          <fgColor theme="9" tint="0.79995117038483843"/>
          <bgColor theme="9" tint="0.79995117038483843"/>
        </patternFill>
      </fill>
    </dxf>
    <dxf>
      <fill>
        <patternFill patternType="solid">
          <fgColor theme="9" tint="0.59996337778862885"/>
          <bgColor theme="9" tint="0.59996337778862885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7979"/>
          <bgColor rgb="FFFF7979"/>
        </patternFill>
      </fill>
    </dxf>
    <dxf>
      <fill>
        <patternFill patternType="solid">
          <fgColor rgb="FFFF2121"/>
          <bgColor rgb="FFFF212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A568D2"/>
          <bgColor rgb="FFA568D2"/>
        </patternFill>
      </fill>
    </dxf>
    <dxf>
      <fill>
        <patternFill patternType="solid">
          <fgColor theme="0" tint="-0.24994659260841701"/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tracker.yandex.ru/OSTANINA-48" TargetMode="External"/><Relationship Id="rId2" Type="http://schemas.openxmlformats.org/officeDocument/2006/relationships/hyperlink" Target="https://tracker.yandex.ru/OSTANINA-48" TargetMode="External"/><Relationship Id="rId1" Type="http://schemas.openxmlformats.org/officeDocument/2006/relationships/hyperlink" Target="https://tracker.yandex.ru/OSTANINA-60" TargetMode="External"/><Relationship Id="rId6" Type="http://schemas.openxmlformats.org/officeDocument/2006/relationships/hyperlink" Target="https://tracker.yandex.ru/OSTANINA-41" TargetMode="External"/><Relationship Id="rId5" Type="http://schemas.openxmlformats.org/officeDocument/2006/relationships/hyperlink" Target="https://tracker.yandex.ru/OSTANINA-54" TargetMode="External"/><Relationship Id="rId4" Type="http://schemas.openxmlformats.org/officeDocument/2006/relationships/hyperlink" Target="https://tracker.yandex.ru/OSTANINA-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opLeftCell="A5" workbookViewId="0">
      <selection activeCell="B27" sqref="B27"/>
    </sheetView>
  </sheetViews>
  <sheetFormatPr defaultColWidth="9.109375" defaultRowHeight="14.4" x14ac:dyDescent="0.3"/>
  <cols>
    <col min="1" max="1" width="19.33203125" customWidth="1"/>
    <col min="2" max="2" width="154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4" t="s">
        <v>4</v>
      </c>
      <c r="B3" s="3" t="s">
        <v>5</v>
      </c>
    </row>
    <row r="4" spans="1:2" x14ac:dyDescent="0.3">
      <c r="A4" s="5" t="s">
        <v>6</v>
      </c>
      <c r="B4" s="3" t="s">
        <v>7</v>
      </c>
    </row>
    <row r="5" spans="1:2" x14ac:dyDescent="0.3">
      <c r="A5" s="6" t="s">
        <v>8</v>
      </c>
      <c r="B5" s="3" t="s">
        <v>9</v>
      </c>
    </row>
    <row r="6" spans="1:2" x14ac:dyDescent="0.3">
      <c r="A6" s="7" t="s">
        <v>10</v>
      </c>
      <c r="B6" s="3" t="s">
        <v>11</v>
      </c>
    </row>
    <row r="7" spans="1:2" x14ac:dyDescent="0.3">
      <c r="A7" s="8" t="s">
        <v>12</v>
      </c>
      <c r="B7" s="3" t="s">
        <v>13</v>
      </c>
    </row>
    <row r="8" spans="1:2" x14ac:dyDescent="0.3">
      <c r="A8" s="9" t="s">
        <v>14</v>
      </c>
      <c r="B8" s="3" t="s">
        <v>15</v>
      </c>
    </row>
    <row r="9" spans="1:2" x14ac:dyDescent="0.3">
      <c r="A9" s="3" t="s">
        <v>16</v>
      </c>
      <c r="B9" s="3" t="s">
        <v>17</v>
      </c>
    </row>
    <row r="10" spans="1:2" x14ac:dyDescent="0.3">
      <c r="A10" s="10" t="s">
        <v>18</v>
      </c>
      <c r="B10" s="3" t="s">
        <v>19</v>
      </c>
    </row>
    <row r="11" spans="1:2" x14ac:dyDescent="0.3">
      <c r="A11" s="11" t="s">
        <v>20</v>
      </c>
      <c r="B11" s="3" t="s">
        <v>21</v>
      </c>
    </row>
    <row r="14" spans="1:2" x14ac:dyDescent="0.3">
      <c r="A14" s="1" t="s">
        <v>22</v>
      </c>
      <c r="B14" s="1" t="s">
        <v>1</v>
      </c>
    </row>
    <row r="15" spans="1:2" x14ac:dyDescent="0.3">
      <c r="A15" s="3" t="s">
        <v>23</v>
      </c>
      <c r="B15" s="3" t="s">
        <v>24</v>
      </c>
    </row>
    <row r="16" spans="1:2" x14ac:dyDescent="0.3">
      <c r="A16" s="3" t="s">
        <v>25</v>
      </c>
      <c r="B16" s="3" t="s">
        <v>26</v>
      </c>
    </row>
    <row r="17" spans="1:2" x14ac:dyDescent="0.3">
      <c r="A17" s="3" t="s">
        <v>27</v>
      </c>
      <c r="B17" s="3" t="s">
        <v>28</v>
      </c>
    </row>
    <row r="18" spans="1:2" x14ac:dyDescent="0.3">
      <c r="A18" s="3" t="s">
        <v>29</v>
      </c>
      <c r="B18" s="3" t="s">
        <v>30</v>
      </c>
    </row>
    <row r="19" spans="1:2" x14ac:dyDescent="0.3">
      <c r="A19" s="3" t="s">
        <v>31</v>
      </c>
      <c r="B19" s="3" t="s">
        <v>32</v>
      </c>
    </row>
    <row r="20" spans="1:2" x14ac:dyDescent="0.3">
      <c r="A20" s="3" t="s">
        <v>33</v>
      </c>
      <c r="B20" s="3" t="s">
        <v>34</v>
      </c>
    </row>
    <row r="22" spans="1:2" x14ac:dyDescent="0.3">
      <c r="A22" s="1" t="s">
        <v>61</v>
      </c>
      <c r="B22" s="18" t="s">
        <v>62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tabSelected="1" workbookViewId="0">
      <selection activeCell="F12" sqref="F12"/>
    </sheetView>
  </sheetViews>
  <sheetFormatPr defaultColWidth="9" defaultRowHeight="14.4" x14ac:dyDescent="0.3"/>
  <cols>
    <col min="1" max="1" width="11.33203125" customWidth="1"/>
    <col min="2" max="2" width="32.6640625" customWidth="1"/>
    <col min="3" max="3" width="51.77734375" customWidth="1"/>
    <col min="4" max="4" width="46.109375" bestFit="1" customWidth="1"/>
    <col min="5" max="5" width="12.77734375" customWidth="1"/>
    <col min="6" max="6" width="13.5546875" style="37" customWidth="1"/>
  </cols>
  <sheetData>
    <row r="1" spans="1:16" x14ac:dyDescent="0.3">
      <c r="A1" s="28" t="s">
        <v>35</v>
      </c>
      <c r="B1" s="28"/>
      <c r="C1" s="28" t="s">
        <v>1</v>
      </c>
      <c r="D1" s="12" t="s">
        <v>36</v>
      </c>
      <c r="E1" s="29" t="s">
        <v>98</v>
      </c>
      <c r="F1" s="29"/>
    </row>
    <row r="2" spans="1:16" x14ac:dyDescent="0.3">
      <c r="A2" s="28"/>
      <c r="B2" s="28"/>
      <c r="C2" s="28"/>
      <c r="D2" s="12" t="s">
        <v>22</v>
      </c>
      <c r="E2" s="30" t="s">
        <v>27</v>
      </c>
      <c r="F2" s="28"/>
    </row>
    <row r="3" spans="1:16" x14ac:dyDescent="0.3">
      <c r="A3" s="28"/>
      <c r="B3" s="28"/>
      <c r="C3" s="28"/>
      <c r="D3" s="12" t="s">
        <v>37</v>
      </c>
      <c r="E3" s="31">
        <v>46230</v>
      </c>
      <c r="F3" s="31"/>
    </row>
    <row r="4" spans="1:16" x14ac:dyDescent="0.3">
      <c r="A4" s="28"/>
      <c r="B4" s="28"/>
      <c r="C4" s="28"/>
      <c r="D4" s="12" t="s">
        <v>38</v>
      </c>
      <c r="E4" s="28" t="s">
        <v>99</v>
      </c>
      <c r="F4" s="28"/>
    </row>
    <row r="5" spans="1:16" x14ac:dyDescent="0.3">
      <c r="A5" s="28"/>
      <c r="B5" s="28"/>
      <c r="C5" s="28"/>
      <c r="D5" s="12" t="s">
        <v>39</v>
      </c>
      <c r="E5" s="32" t="s">
        <v>100</v>
      </c>
      <c r="F5" s="32"/>
    </row>
    <row r="6" spans="1:16" x14ac:dyDescent="0.3">
      <c r="A6" s="28"/>
      <c r="B6" s="28"/>
      <c r="C6" s="28"/>
      <c r="D6" s="12" t="s">
        <v>40</v>
      </c>
      <c r="E6" s="28" t="s">
        <v>95</v>
      </c>
      <c r="F6" s="28"/>
      <c r="K6" s="13"/>
      <c r="P6" s="14"/>
    </row>
    <row r="7" spans="1:16" x14ac:dyDescent="0.3">
      <c r="A7" s="25" t="s">
        <v>49</v>
      </c>
      <c r="B7" s="25"/>
      <c r="C7" s="26" t="s">
        <v>63</v>
      </c>
      <c r="D7" s="15" t="s">
        <v>41</v>
      </c>
      <c r="E7" s="3">
        <f>COUNTA(C15:C37)</f>
        <v>23</v>
      </c>
      <c r="F7" s="33">
        <v>1</v>
      </c>
      <c r="K7" s="13"/>
      <c r="P7" s="14"/>
    </row>
    <row r="8" spans="1:16" x14ac:dyDescent="0.3">
      <c r="A8" s="25"/>
      <c r="B8" s="25"/>
      <c r="C8" s="26"/>
      <c r="D8" s="2" t="s">
        <v>42</v>
      </c>
      <c r="E8" s="3">
        <f>COUNTIF(E15:E37,"OK")</f>
        <v>16</v>
      </c>
      <c r="F8" s="34">
        <f t="shared" ref="F8:F12" si="0">(E8*100)/$E$7</f>
        <v>69.565217391304344</v>
      </c>
      <c r="K8" s="13"/>
      <c r="P8" s="14"/>
    </row>
    <row r="9" spans="1:16" x14ac:dyDescent="0.3">
      <c r="A9" s="25"/>
      <c r="B9" s="25"/>
      <c r="C9" s="26"/>
      <c r="D9" s="8" t="s">
        <v>43</v>
      </c>
      <c r="E9" s="3">
        <f>COUNTIF(E15:E37,"Enhancement")+COUNTIF(E15:E37,"Minor")+COUNTIF(E15:E37,"Average")+COUNTIF(E15:E37,"Major")+COUNTIF(E15:E37,"Critical")</f>
        <v>6</v>
      </c>
      <c r="F9" s="34">
        <f>(E9*100)/$E$7</f>
        <v>26.086956521739129</v>
      </c>
      <c r="K9" s="13"/>
      <c r="P9" s="13"/>
    </row>
    <row r="10" spans="1:16" x14ac:dyDescent="0.3">
      <c r="A10" s="25"/>
      <c r="B10" s="25"/>
      <c r="C10" s="26"/>
      <c r="D10" s="3" t="s">
        <v>16</v>
      </c>
      <c r="E10" s="3">
        <f>COUNTIF(E15:E37,"Not available")</f>
        <v>1</v>
      </c>
      <c r="F10" s="34">
        <f>(E10*100)/$E$7</f>
        <v>4.3478260869565215</v>
      </c>
      <c r="K10" s="13"/>
    </row>
    <row r="11" spans="1:16" x14ac:dyDescent="0.3">
      <c r="A11" s="25"/>
      <c r="B11" s="25"/>
      <c r="C11" s="26"/>
      <c r="D11" s="10" t="s">
        <v>18</v>
      </c>
      <c r="E11" s="3">
        <f>COUNTIF(E15:E37,"Not implemented")</f>
        <v>0</v>
      </c>
      <c r="F11" s="34">
        <f>(E11*100)/$E$7</f>
        <v>0</v>
      </c>
      <c r="K11" s="13"/>
    </row>
    <row r="12" spans="1:16" x14ac:dyDescent="0.3">
      <c r="A12" s="25"/>
      <c r="B12" s="25"/>
      <c r="C12" s="26"/>
      <c r="D12" s="11" t="s">
        <v>20</v>
      </c>
      <c r="E12" s="3">
        <f>COUNTIF(E15:E37,"Not tested")</f>
        <v>0</v>
      </c>
      <c r="F12" s="34">
        <f>(E12*100)/$E$7</f>
        <v>0</v>
      </c>
      <c r="K12" s="13"/>
    </row>
    <row r="13" spans="1:16" x14ac:dyDescent="0.3">
      <c r="A13" s="16" t="s">
        <v>22</v>
      </c>
      <c r="B13" s="16" t="s">
        <v>44</v>
      </c>
      <c r="C13" s="16" t="s">
        <v>45</v>
      </c>
      <c r="D13" s="16" t="s">
        <v>46</v>
      </c>
      <c r="E13" s="16" t="s">
        <v>0</v>
      </c>
      <c r="F13" s="35" t="s">
        <v>47</v>
      </c>
      <c r="K13" s="13"/>
    </row>
    <row r="14" spans="1:16" x14ac:dyDescent="0.3">
      <c r="A14" s="27" t="s">
        <v>49</v>
      </c>
      <c r="B14" s="27"/>
      <c r="C14" s="27"/>
      <c r="D14" s="27"/>
      <c r="E14" s="27"/>
      <c r="F14" s="27"/>
      <c r="G14" s="13"/>
      <c r="K14" s="13"/>
    </row>
    <row r="15" spans="1:16" x14ac:dyDescent="0.3">
      <c r="A15" s="3" t="s">
        <v>23</v>
      </c>
      <c r="B15" s="22" t="s">
        <v>49</v>
      </c>
      <c r="C15" s="17" t="s">
        <v>91</v>
      </c>
      <c r="D15" s="17" t="s">
        <v>92</v>
      </c>
      <c r="E15" s="2" t="s">
        <v>2</v>
      </c>
      <c r="F15" s="34"/>
    </row>
    <row r="16" spans="1:16" ht="43.2" x14ac:dyDescent="0.3">
      <c r="A16" s="3" t="s">
        <v>25</v>
      </c>
      <c r="B16" s="23"/>
      <c r="C16" s="17" t="s">
        <v>68</v>
      </c>
      <c r="D16" s="17" t="s">
        <v>69</v>
      </c>
      <c r="E16" s="2" t="s">
        <v>2</v>
      </c>
      <c r="F16" s="34"/>
    </row>
    <row r="17" spans="1:6" x14ac:dyDescent="0.3">
      <c r="A17" s="3" t="s">
        <v>23</v>
      </c>
      <c r="B17" s="22" t="s">
        <v>48</v>
      </c>
      <c r="C17" s="17" t="s">
        <v>64</v>
      </c>
      <c r="D17" s="17" t="s">
        <v>93</v>
      </c>
      <c r="E17" s="2" t="s">
        <v>2</v>
      </c>
      <c r="F17" s="34"/>
    </row>
    <row r="18" spans="1:6" ht="28.8" x14ac:dyDescent="0.3">
      <c r="A18" s="3" t="s">
        <v>25</v>
      </c>
      <c r="B18" s="24"/>
      <c r="C18" s="17" t="s">
        <v>50</v>
      </c>
      <c r="D18" s="17" t="s">
        <v>97</v>
      </c>
      <c r="E18" s="8" t="s">
        <v>12</v>
      </c>
      <c r="F18" s="36" t="s">
        <v>102</v>
      </c>
    </row>
    <row r="19" spans="1:6" ht="28.8" x14ac:dyDescent="0.3">
      <c r="A19" s="3" t="s">
        <v>25</v>
      </c>
      <c r="B19" s="23"/>
      <c r="C19" s="17" t="s">
        <v>51</v>
      </c>
      <c r="D19" s="17" t="s">
        <v>70</v>
      </c>
      <c r="E19" s="3" t="s">
        <v>16</v>
      </c>
      <c r="F19" s="34"/>
    </row>
    <row r="20" spans="1:6" x14ac:dyDescent="0.3">
      <c r="A20" s="3" t="s">
        <v>23</v>
      </c>
      <c r="B20" s="22" t="s">
        <v>52</v>
      </c>
      <c r="C20" s="17" t="s">
        <v>65</v>
      </c>
      <c r="D20" s="17" t="s">
        <v>93</v>
      </c>
      <c r="E20" s="2" t="s">
        <v>2</v>
      </c>
      <c r="F20" s="34"/>
    </row>
    <row r="21" spans="1:6" ht="28.8" x14ac:dyDescent="0.3">
      <c r="A21" s="3" t="s">
        <v>25</v>
      </c>
      <c r="B21" s="24"/>
      <c r="C21" s="17" t="s">
        <v>53</v>
      </c>
      <c r="D21" s="17" t="s">
        <v>54</v>
      </c>
      <c r="E21" s="6" t="s">
        <v>8</v>
      </c>
      <c r="F21" s="36" t="s">
        <v>103</v>
      </c>
    </row>
    <row r="22" spans="1:6" s="13" customFormat="1" x14ac:dyDescent="0.3">
      <c r="A22" s="3" t="s">
        <v>25</v>
      </c>
      <c r="B22" s="23"/>
      <c r="C22" s="17" t="s">
        <v>101</v>
      </c>
      <c r="D22" s="21">
        <v>30</v>
      </c>
      <c r="E22" s="6" t="s">
        <v>8</v>
      </c>
      <c r="F22" s="36" t="s">
        <v>104</v>
      </c>
    </row>
    <row r="23" spans="1:6" x14ac:dyDescent="0.3">
      <c r="A23" s="3" t="s">
        <v>23</v>
      </c>
      <c r="B23" s="22" t="s">
        <v>55</v>
      </c>
      <c r="C23" s="17" t="s">
        <v>66</v>
      </c>
      <c r="D23" s="17" t="s">
        <v>93</v>
      </c>
      <c r="E23" s="2" t="s">
        <v>2</v>
      </c>
      <c r="F23" s="34"/>
    </row>
    <row r="24" spans="1:6" ht="43.2" x14ac:dyDescent="0.3">
      <c r="A24" s="3" t="s">
        <v>25</v>
      </c>
      <c r="B24" s="24"/>
      <c r="C24" s="17" t="s">
        <v>56</v>
      </c>
      <c r="D24" s="19" t="s">
        <v>94</v>
      </c>
      <c r="E24" s="6" t="s">
        <v>8</v>
      </c>
      <c r="F24" s="36" t="s">
        <v>103</v>
      </c>
    </row>
    <row r="25" spans="1:6" ht="28.8" x14ac:dyDescent="0.3">
      <c r="A25" s="3" t="s">
        <v>25</v>
      </c>
      <c r="B25" s="23"/>
      <c r="C25" s="17" t="s">
        <v>57</v>
      </c>
      <c r="D25" s="17" t="s">
        <v>71</v>
      </c>
      <c r="E25" s="8" t="s">
        <v>12</v>
      </c>
      <c r="F25" s="36" t="s">
        <v>105</v>
      </c>
    </row>
    <row r="26" spans="1:6" x14ac:dyDescent="0.3">
      <c r="A26" s="3" t="s">
        <v>23</v>
      </c>
      <c r="B26" s="25" t="s">
        <v>58</v>
      </c>
      <c r="C26" s="17" t="s">
        <v>67</v>
      </c>
      <c r="D26" s="17" t="s">
        <v>93</v>
      </c>
      <c r="E26" s="2" t="s">
        <v>2</v>
      </c>
      <c r="F26" s="34"/>
    </row>
    <row r="27" spans="1:6" ht="43.2" x14ac:dyDescent="0.3">
      <c r="A27" s="3" t="s">
        <v>25</v>
      </c>
      <c r="B27" s="25"/>
      <c r="C27" s="17" t="s">
        <v>59</v>
      </c>
      <c r="D27" s="17" t="s">
        <v>72</v>
      </c>
      <c r="E27" s="2" t="s">
        <v>2</v>
      </c>
      <c r="F27" s="34"/>
    </row>
    <row r="28" spans="1:6" ht="28.8" x14ac:dyDescent="0.3">
      <c r="A28" s="3" t="s">
        <v>27</v>
      </c>
      <c r="B28" s="25"/>
      <c r="C28" s="17" t="s">
        <v>73</v>
      </c>
      <c r="D28" s="17" t="s">
        <v>74</v>
      </c>
      <c r="E28" s="2" t="s">
        <v>2</v>
      </c>
      <c r="F28" s="34"/>
    </row>
    <row r="29" spans="1:6" ht="28.8" x14ac:dyDescent="0.3">
      <c r="A29" s="3" t="s">
        <v>27</v>
      </c>
      <c r="B29" s="25"/>
      <c r="C29" s="17" t="s">
        <v>75</v>
      </c>
      <c r="D29" s="17" t="s">
        <v>76</v>
      </c>
      <c r="E29" s="2" t="s">
        <v>2</v>
      </c>
      <c r="F29" s="34"/>
    </row>
    <row r="30" spans="1:6" x14ac:dyDescent="0.3">
      <c r="A30" s="3" t="s">
        <v>27</v>
      </c>
      <c r="B30" s="25"/>
      <c r="C30" s="17" t="s">
        <v>77</v>
      </c>
      <c r="D30" s="17" t="s">
        <v>78</v>
      </c>
      <c r="E30" s="2" t="s">
        <v>2</v>
      </c>
      <c r="F30" s="34"/>
    </row>
    <row r="31" spans="1:6" ht="28.8" x14ac:dyDescent="0.3">
      <c r="A31" s="3" t="s">
        <v>27</v>
      </c>
      <c r="B31" s="25"/>
      <c r="C31" s="17" t="s">
        <v>79</v>
      </c>
      <c r="D31" s="17" t="s">
        <v>80</v>
      </c>
      <c r="E31" s="2" t="s">
        <v>2</v>
      </c>
      <c r="F31" s="34"/>
    </row>
    <row r="32" spans="1:6" x14ac:dyDescent="0.3">
      <c r="A32" s="3" t="s">
        <v>27</v>
      </c>
      <c r="B32" s="25"/>
      <c r="C32" s="17" t="s">
        <v>81</v>
      </c>
      <c r="D32" s="17" t="s">
        <v>82</v>
      </c>
      <c r="E32" s="2" t="s">
        <v>2</v>
      </c>
      <c r="F32" s="34"/>
    </row>
    <row r="33" spans="1:6" x14ac:dyDescent="0.3">
      <c r="A33" s="3" t="s">
        <v>27</v>
      </c>
      <c r="B33" s="25"/>
      <c r="C33" s="17" t="s">
        <v>83</v>
      </c>
      <c r="D33" s="17" t="s">
        <v>84</v>
      </c>
      <c r="E33" s="2" t="s">
        <v>2</v>
      </c>
      <c r="F33" s="34"/>
    </row>
    <row r="34" spans="1:6" x14ac:dyDescent="0.3">
      <c r="A34" s="3" t="s">
        <v>27</v>
      </c>
      <c r="B34" s="25"/>
      <c r="C34" s="17" t="s">
        <v>85</v>
      </c>
      <c r="D34" s="17" t="s">
        <v>86</v>
      </c>
      <c r="E34" s="2" t="s">
        <v>2</v>
      </c>
      <c r="F34" s="34"/>
    </row>
    <row r="35" spans="1:6" x14ac:dyDescent="0.3">
      <c r="A35" s="3" t="s">
        <v>27</v>
      </c>
      <c r="B35" s="25"/>
      <c r="C35" s="17" t="s">
        <v>87</v>
      </c>
      <c r="D35" s="17" t="s">
        <v>88</v>
      </c>
      <c r="E35" s="2" t="s">
        <v>2</v>
      </c>
      <c r="F35" s="34"/>
    </row>
    <row r="36" spans="1:6" x14ac:dyDescent="0.3">
      <c r="A36" s="3" t="s">
        <v>27</v>
      </c>
      <c r="B36" s="25"/>
      <c r="C36" s="17" t="s">
        <v>89</v>
      </c>
      <c r="D36" s="17" t="s">
        <v>90</v>
      </c>
      <c r="E36" s="2" t="s">
        <v>2</v>
      </c>
      <c r="F36" s="34"/>
    </row>
    <row r="37" spans="1:6" x14ac:dyDescent="0.3">
      <c r="A37" s="3" t="s">
        <v>27</v>
      </c>
      <c r="B37" s="25"/>
      <c r="C37" s="17" t="s">
        <v>60</v>
      </c>
      <c r="D37" s="20" t="s">
        <v>96</v>
      </c>
      <c r="E37" s="8" t="s">
        <v>12</v>
      </c>
      <c r="F37" s="36" t="s">
        <v>106</v>
      </c>
    </row>
  </sheetData>
  <mergeCells count="16">
    <mergeCell ref="A7:B12"/>
    <mergeCell ref="C7:C12"/>
    <mergeCell ref="A14:F14"/>
    <mergeCell ref="A1:B6"/>
    <mergeCell ref="C1:C6"/>
    <mergeCell ref="E1:F1"/>
    <mergeCell ref="E2:F2"/>
    <mergeCell ref="E3:F3"/>
    <mergeCell ref="E4:F4"/>
    <mergeCell ref="E5:F5"/>
    <mergeCell ref="E6:F6"/>
    <mergeCell ref="B15:B16"/>
    <mergeCell ref="B17:B19"/>
    <mergeCell ref="B23:B25"/>
    <mergeCell ref="B26:B37"/>
    <mergeCell ref="B20:B22"/>
  </mergeCells>
  <conditionalFormatting sqref="K6:K14">
    <cfRule type="cellIs" dxfId="9" priority="31" operator="equal">
      <formula>"Not tested"</formula>
    </cfRule>
    <cfRule type="cellIs" dxfId="8" priority="32" operator="equal">
      <formula>"Not implemented"</formula>
    </cfRule>
    <cfRule type="cellIs" dxfId="7" priority="33" operator="equal">
      <formula>"Not available"</formula>
    </cfRule>
    <cfRule type="cellIs" dxfId="6" priority="34" operator="equal">
      <formula>"Critical"</formula>
    </cfRule>
    <cfRule type="cellIs" dxfId="5" priority="35" operator="equal">
      <formula>"Major"</formula>
    </cfRule>
    <cfRule type="cellIs" dxfId="4" priority="36" operator="equal">
      <formula>"Average"</formula>
    </cfRule>
    <cfRule type="cellIs" dxfId="3" priority="37" operator="equal">
      <formula>"Minor"</formula>
    </cfRule>
    <cfRule type="cellIs" dxfId="2" priority="38" operator="equal">
      <formula>"Enhancement"</formula>
    </cfRule>
    <cfRule type="cellIs" dxfId="1" priority="39" operator="equal">
      <formula>"Partially tested"</formula>
    </cfRule>
    <cfRule type="cellIs" dxfId="0" priority="40" operator="equal">
      <formula>"OK"</formula>
    </cfRule>
  </conditionalFormatting>
  <hyperlinks>
    <hyperlink ref="F18" r:id="rId1" display="https://tracker.yandex.ru/OSTANINA-60" xr:uid="{074CFA49-70B2-43EB-BD17-C16A2ED575D8}"/>
    <hyperlink ref="F21" r:id="rId2" display="https://tracker.yandex.ru/OSTANINA-48" xr:uid="{19AFD01A-D1C9-4A40-AB9F-E37FA8357346}"/>
    <hyperlink ref="F24" r:id="rId3" display="https://tracker.yandex.ru/OSTANINA-48" xr:uid="{959E7AE5-ED99-4AFF-86BF-46B8EAF5F9D5}"/>
    <hyperlink ref="F25" r:id="rId4" display="https://tracker.yandex.ru/OSTANINA-61" xr:uid="{690F994F-65E5-4004-AC20-1A1E71CC199A}"/>
    <hyperlink ref="F37" r:id="rId5" display="https://tracker.yandex.ru/OSTANINA-54" xr:uid="{8FD63E56-382F-48CA-AC32-3CCD145E3505}"/>
    <hyperlink ref="F22" r:id="rId6" display="https://tracker.yandex.ru/OSTANINA-41" xr:uid="{44FB917A-C342-48C2-BE2C-11C30B18B8E2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Легенда</vt:lpstr>
      <vt:lpstr>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 Sun</dc:creator>
  <cp:lastModifiedBy>Анастасия Биб</cp:lastModifiedBy>
  <cp:revision>1</cp:revision>
  <dcterms:created xsi:type="dcterms:W3CDTF">2023-12-21T12:48:00Z</dcterms:created>
  <dcterms:modified xsi:type="dcterms:W3CDTF">2026-09-01T22:11:45Z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980C7C2303334F3CA54393078A13C97D_13</vt:lpwstr>
  </property>
  <property fmtid="{D5CDD505-2E9C-101B-9397-08002B2CF9AE}" pid="3" name="KSOProductBuildVer">
    <vt:lpwstr>1049-12.2.0.13489</vt:lpwstr>
  </property>
</Properties>
</file>